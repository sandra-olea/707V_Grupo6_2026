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2YysLxHLKBsnsrsm+5sdpf3RZWvYDZz26BGmzvGhzZg="/>
    </ext>
  </extLst>
</workbook>
</file>

<file path=xl/sharedStrings.xml><?xml version="1.0" encoding="utf-8"?>
<sst xmlns="http://schemas.openxmlformats.org/spreadsheetml/2006/main" count="220" uniqueCount="116">
  <si>
    <t>SIGLA</t>
  </si>
  <si>
    <t>ROL</t>
  </si>
  <si>
    <t>NOMBRE</t>
  </si>
  <si>
    <t>Matriz Estructura de descomposición de tareas EDT</t>
  </si>
  <si>
    <t>VALOR HORA HH</t>
  </si>
  <si>
    <t>HORAS</t>
  </si>
  <si>
    <t>FASE PLANIFICACION</t>
  </si>
  <si>
    <t>COSTO POR HORA</t>
  </si>
  <si>
    <t>JP</t>
  </si>
  <si>
    <t>Jefe de Proyecto</t>
  </si>
  <si>
    <t>Etapas</t>
  </si>
  <si>
    <t>DIAS</t>
  </si>
  <si>
    <t>HORAS POR ACTIVIDAD O ENTREGABLE</t>
  </si>
  <si>
    <t>DICCIONARIO EDT</t>
  </si>
  <si>
    <t>Fase de Planificación</t>
  </si>
  <si>
    <t>Analista Programador</t>
  </si>
  <si>
    <t>DBA</t>
  </si>
  <si>
    <t>QA</t>
  </si>
  <si>
    <t>Diseñador</t>
  </si>
  <si>
    <t>ROL ACTOR</t>
  </si>
  <si>
    <t>NOMBRE ACTOR</t>
  </si>
  <si>
    <t>Acta de Constitución de proyecto</t>
  </si>
  <si>
    <t>Christian Soto</t>
  </si>
  <si>
    <t>Aprobación del Acta</t>
  </si>
  <si>
    <t>COSTO x HORA</t>
  </si>
  <si>
    <t>Sueldo mes</t>
  </si>
  <si>
    <t>Kevin Herrera</t>
  </si>
  <si>
    <t>AP</t>
  </si>
  <si>
    <t>Definición de requerimientos Generales</t>
  </si>
  <si>
    <t>Gerald Silva</t>
  </si>
  <si>
    <t>Organización del equipo</t>
  </si>
  <si>
    <t>TOTAL FASE DE PLANIFICACIÓN</t>
  </si>
  <si>
    <t>Desarrollador BD</t>
  </si>
  <si>
    <t>Fase de Análisis y diseño</t>
  </si>
  <si>
    <t>Calidad Y Testing</t>
  </si>
  <si>
    <t>Captura de requerimientos específicos</t>
  </si>
  <si>
    <t>Administrador BD</t>
  </si>
  <si>
    <t>Documento de arquitectura SW</t>
  </si>
  <si>
    <t>DI</t>
  </si>
  <si>
    <t>Modelo de datos y diagrama de BBDD</t>
  </si>
  <si>
    <t>Documento de casos de uso</t>
  </si>
  <si>
    <t>Prototipos (mockups de las pantallas)</t>
  </si>
  <si>
    <t>TOTAL FASE PLANIFICACION</t>
  </si>
  <si>
    <t>Propuesta ERS</t>
  </si>
  <si>
    <t>TOTAL FASE DE ANÁLISIS Y DISEÑO</t>
  </si>
  <si>
    <t xml:space="preserve">VALOR HORA HH </t>
  </si>
  <si>
    <t>FASE DISEÑO</t>
  </si>
  <si>
    <t>COSTO HH POR ROL</t>
  </si>
  <si>
    <t>Fase de Desarrollo</t>
  </si>
  <si>
    <t>Implementación ambiente de desarrollo</t>
  </si>
  <si>
    <t>Creación de los script de tablas base de datos</t>
  </si>
  <si>
    <t>Creación de los script de consultas PL/pgSQL (RLS, funciones y vistas)</t>
  </si>
  <si>
    <t>Módulo de Autenticación y Acceso</t>
  </si>
  <si>
    <t>Pantalla de ingreso por empresa con branding</t>
  </si>
  <si>
    <t>Edge Functions de login (solicitar / verificar)</t>
  </si>
  <si>
    <t>Hook de claims JWT y helpers de contexto</t>
  </si>
  <si>
    <t>Canje de enlace mágico y código de un solo uso</t>
  </si>
  <si>
    <t>Módulo de Administración de Usuarios</t>
  </si>
  <si>
    <t>Alta en cascada de jefes y colaboradores</t>
  </si>
  <si>
    <t>Mantenedor de áreas jerárquicas</t>
  </si>
  <si>
    <t>Módulo de Gestión de Encuestas</t>
  </si>
  <si>
    <t>Lanzamiento de encuesta y cuenta regresiva</t>
  </si>
  <si>
    <t>Envío de invitaciones por correo</t>
  </si>
  <si>
    <t>TOTAL FASE DISEÑO</t>
  </si>
  <si>
    <t>TOTAL COSTO</t>
  </si>
  <si>
    <t>Recordatorios automáticos y recordatorio manual</t>
  </si>
  <si>
    <t>Módulo de Respuesta a la Encuesta</t>
  </si>
  <si>
    <t>FASE DESARROLLO</t>
  </si>
  <si>
    <t>COSTO POR FASE</t>
  </si>
  <si>
    <t>Cuestionario por dimensión y subdimensión</t>
  </si>
  <si>
    <t>Selección de emociones del colaborador</t>
  </si>
  <si>
    <t>Envío y sellado de la participación</t>
  </si>
  <si>
    <t>Módulo de Informes y Reportes</t>
  </si>
  <si>
    <t>Fase de Análisis y Diseño</t>
  </si>
  <si>
    <t>Funciones de reporte con umbral de anonimato</t>
  </si>
  <si>
    <t>Panel de gerencia (resumen de la medición)</t>
  </si>
  <si>
    <t>Informes por dimensión, área e histórico</t>
  </si>
  <si>
    <t>Mapa de emociones por área</t>
  </si>
  <si>
    <t>Fase de QA</t>
  </si>
  <si>
    <t>Exportación de informes</t>
  </si>
  <si>
    <t>Módulo de Planes de Acción</t>
  </si>
  <si>
    <t>Fase de Implementación y Cierre</t>
  </si>
  <si>
    <t>Propuesta de plan por jefatura</t>
  </si>
  <si>
    <t>TOTAL FASE DESARROLLO</t>
  </si>
  <si>
    <t>Aprobación y seguimiento por gerencia</t>
  </si>
  <si>
    <t>Módulo de Mantenimiento Automatizado</t>
  </si>
  <si>
    <t>TOTAL COSTO FASES</t>
  </si>
  <si>
    <t>Job diario: cierre, recordatorios y refresco de vistas</t>
  </si>
  <si>
    <t>Keep-alive y bitácora de mantenimiento</t>
  </si>
  <si>
    <t>TOTAL FASE DE DESARROLLO</t>
  </si>
  <si>
    <t>FASE PRUEBAS QA</t>
  </si>
  <si>
    <t xml:space="preserve">Margen </t>
  </si>
  <si>
    <t>Fase de Pruebas y QA</t>
  </si>
  <si>
    <t>UTILIDAD</t>
  </si>
  <si>
    <t>Implementación ambiente de pruebas</t>
  </si>
  <si>
    <t>Pruebas Funcionales</t>
  </si>
  <si>
    <t>Pruebas de seguridad y verificación de RLS</t>
  </si>
  <si>
    <t>PRECIO FINAL</t>
  </si>
  <si>
    <t>Pruebas con Usuarios</t>
  </si>
  <si>
    <t>Corrección de hallazgos</t>
  </si>
  <si>
    <t>TOTAL FASE DE PRUEBAS Y QA</t>
  </si>
  <si>
    <t>TOTAL HH PROYECTO</t>
  </si>
  <si>
    <t>Fase de implementación y cierre</t>
  </si>
  <si>
    <t>TOTAL FASE PRUEBAS QA</t>
  </si>
  <si>
    <t>Migración del sistema a producción</t>
  </si>
  <si>
    <t>Las columnas NOMBRE y HORAS se calculan solas:</t>
  </si>
  <si>
    <t>Capacitaciones</t>
  </si>
  <si>
    <t>NOMBRE viene del Diccionario EDT y HORAS del subtotal de cada fase.</t>
  </si>
  <si>
    <t>Editar a mano solo J4:J8 (valor hora) e I29 (margen).</t>
  </si>
  <si>
    <t>Manuales Usuario</t>
  </si>
  <si>
    <t>FASE IMPLEMENTACION Y CIERRE</t>
  </si>
  <si>
    <t>Acta cierre de proyecto</t>
  </si>
  <si>
    <t>TOTAL FASE DE IMPLEMENTACIÓN Y CIERRE</t>
  </si>
  <si>
    <t>TOTAL PROYECTO</t>
  </si>
  <si>
    <t>TOTAL HORAS HOMBRE (HH)</t>
  </si>
  <si>
    <t>TOTAL FASE IMPLEMENTACION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</si>
</sst>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_ ;\-0\ 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/>
    <font>
      <i/>
      <sz val="9.0"/>
      <color rgb="FF40404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C6E0B4"/>
        <bgColor rgb="FFC6E0B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left" shrinkToFit="0" vertical="center" wrapText="0"/>
    </xf>
    <xf borderId="2" fillId="3" fontId="3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ill="1" applyFont="1">
      <alignment horizontal="center" shrinkToFit="0" vertical="bottom" wrapText="0"/>
    </xf>
    <xf borderId="6" fillId="0" fontId="4" numFmtId="0" xfId="0" applyBorder="1" applyFont="1"/>
    <xf borderId="7" fillId="0" fontId="4" numFmtId="0" xfId="0" applyBorder="1" applyFont="1"/>
    <xf borderId="1" fillId="0" fontId="1" numFmtId="0" xfId="0" applyAlignment="1" applyBorder="1" applyFont="1">
      <alignment shrinkToFit="0" vertical="bottom" wrapText="0"/>
    </xf>
    <xf borderId="1" fillId="4" fontId="2" numFmtId="0" xfId="0" applyAlignment="1" applyBorder="1" applyFill="1" applyFont="1">
      <alignment horizontal="left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8" fillId="4" fontId="2" numFmtId="0" xfId="0" applyAlignment="1" applyBorder="1" applyFill="1" applyFont="1">
      <alignment horizontal="center" shrinkToFit="0" vertical="center" wrapText="0"/>
    </xf>
    <xf borderId="9" fillId="0" fontId="4" numFmtId="0" xfId="0" applyBorder="1" applyFont="1"/>
    <xf borderId="10" fillId="0" fontId="4" numFmtId="0" xfId="0" applyBorder="1" applyFont="1"/>
    <xf borderId="1" fillId="2" fontId="1" numFmtId="0" xfId="0" applyAlignment="1" applyBorder="1" applyFill="1" applyFont="1">
      <alignment horizontal="center" shrinkToFit="0" vertical="center" wrapText="0"/>
    </xf>
    <xf borderId="1" fillId="0" fontId="1" numFmtId="164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5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5" fontId="2" numFmtId="0" xfId="0" applyAlignment="1" applyBorder="1" applyFill="1" applyFont="1">
      <alignment horizontal="left" shrinkToFit="0" vertical="center" wrapText="0"/>
    </xf>
    <xf borderId="1" fillId="5" fontId="2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1" fillId="5" fontId="2" numFmtId="165" xfId="0" applyAlignment="1" applyBorder="1" applyFill="1" applyFont="1" applyNumberFormat="1">
      <alignment horizontal="center" shrinkToFit="0" vertical="center" wrapText="0"/>
    </xf>
    <xf borderId="1" fillId="5" fontId="2" numFmtId="164" xfId="0" applyAlignment="1" applyBorder="1" applyFill="1" applyFont="1" applyNumberForma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6" fontId="2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1" numFmtId="9" xfId="0" applyAlignment="1" applyBorder="1" applyFont="1" applyNumberForma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1" fillId="8" fontId="2" numFmtId="164" xfId="0" applyAlignment="1" applyBorder="1" applyFill="1" applyFont="1" applyNumberForma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8" fontId="2" numFmtId="0" xfId="0" applyAlignment="1" applyBorder="1" applyFill="1" applyFont="1">
      <alignment horizontal="left" shrinkToFit="0" vertical="center" wrapText="0"/>
    </xf>
    <xf borderId="1" fillId="8" fontId="2" numFmtId="0" xfId="0" applyAlignment="1" applyBorder="1" applyFill="1" applyFont="1">
      <alignment horizontal="center" shrinkToFit="0" vertical="center" wrapText="0"/>
    </xf>
    <xf borderId="8" fillId="8" fontId="2" numFmtId="0" xfId="0" applyAlignment="1" applyBorder="1" applyFill="1" applyFont="1">
      <alignment horizontal="left" shrinkToFit="0" vertical="center" wrapText="0"/>
    </xf>
    <xf borderId="1" fillId="8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52.0"/>
    <col customWidth="1" min="2" max="2" width="8.0"/>
    <col customWidth="1" min="3" max="3" width="12.0"/>
    <col customWidth="1" min="4" max="4" width="14.0"/>
    <col customWidth="1" min="5" max="5" width="10.0"/>
    <col customWidth="1" min="6" max="6" width="9.0"/>
    <col customWidth="1" min="7" max="7" width="12.0"/>
    <col customWidth="1" min="8" max="8" width="4.0"/>
    <col customWidth="1" min="9" max="9" width="24.0"/>
    <col customWidth="1" min="10" max="10" width="30.0"/>
    <col customWidth="1" min="11" max="12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4.25" customHeight="1">
      <c r="A2" s="4" t="s">
        <v>3</v>
      </c>
      <c r="B2" s="5"/>
      <c r="C2" s="5"/>
      <c r="D2" s="6"/>
      <c r="E2" s="1"/>
      <c r="F2" s="1"/>
      <c r="G2" s="1"/>
      <c r="H2" s="1"/>
      <c r="I2" s="1"/>
      <c r="J2" s="1"/>
      <c r="K2" s="1"/>
      <c r="L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4.25" customHeight="1">
      <c r="A4" s="11" t="s">
        <v>10</v>
      </c>
      <c r="B4" s="12" t="s">
        <v>11</v>
      </c>
      <c r="C4" s="13" t="s">
        <v>12</v>
      </c>
      <c r="D4" s="14"/>
      <c r="E4" s="14"/>
      <c r="F4" s="14"/>
      <c r="G4" s="15"/>
      <c r="H4" s="1"/>
      <c r="I4" s="13" t="s">
        <v>13</v>
      </c>
      <c r="J4" s="15"/>
      <c r="K4" s="1"/>
      <c r="L4" s="1"/>
    </row>
    <row r="5" ht="14.25" customHeight="1">
      <c r="A5" s="3" t="s">
        <v>14</v>
      </c>
      <c r="B5" s="16"/>
      <c r="C5" s="2" t="s">
        <v>9</v>
      </c>
      <c r="D5" s="2" t="s">
        <v>15</v>
      </c>
      <c r="E5" s="2" t="s">
        <v>16</v>
      </c>
      <c r="F5" s="2" t="s">
        <v>17</v>
      </c>
      <c r="G5" s="2" t="s">
        <v>18</v>
      </c>
      <c r="H5" s="1"/>
      <c r="I5" s="2" t="s">
        <v>19</v>
      </c>
      <c r="J5" s="2" t="s">
        <v>20</v>
      </c>
      <c r="K5" s="1"/>
      <c r="L5" s="1"/>
    </row>
    <row r="6" ht="14.25" customHeight="1" outlineLevel="1">
      <c r="A6" s="18" t="s">
        <v>21</v>
      </c>
      <c r="B6" s="19">
        <v>3.0</v>
      </c>
      <c r="C6" s="19">
        <v>5.0</v>
      </c>
      <c r="D6" s="19">
        <v>2.0</v>
      </c>
      <c r="E6" s="19">
        <v>2.0</v>
      </c>
      <c r="F6" s="19">
        <v>2.0</v>
      </c>
      <c r="G6" s="19">
        <v>2.0</v>
      </c>
      <c r="H6" s="1"/>
      <c r="I6" s="10" t="s">
        <v>9</v>
      </c>
      <c r="J6" s="21" t="s">
        <v>22</v>
      </c>
      <c r="K6" s="1"/>
      <c r="L6" s="1"/>
    </row>
    <row r="7" ht="14.25" customHeight="1" outlineLevel="1">
      <c r="A7" s="18" t="s">
        <v>23</v>
      </c>
      <c r="B7" s="19">
        <v>1.0</v>
      </c>
      <c r="C7" s="19">
        <v>2.0</v>
      </c>
      <c r="D7" s="19">
        <v>1.0</v>
      </c>
      <c r="E7" s="19">
        <v>1.0</v>
      </c>
      <c r="F7" s="19">
        <v>1.0</v>
      </c>
      <c r="G7" s="19">
        <v>1.0</v>
      </c>
      <c r="H7" s="1"/>
      <c r="I7" s="10" t="s">
        <v>15</v>
      </c>
      <c r="J7" s="21" t="s">
        <v>26</v>
      </c>
      <c r="K7" s="1"/>
      <c r="L7" s="1"/>
    </row>
    <row r="8" ht="14.25" customHeight="1" outlineLevel="1">
      <c r="A8" s="18" t="s">
        <v>28</v>
      </c>
      <c r="B8" s="19">
        <v>5.0</v>
      </c>
      <c r="C8" s="19">
        <v>5.0</v>
      </c>
      <c r="D8" s="19">
        <v>5.0</v>
      </c>
      <c r="E8" s="19">
        <v>2.0</v>
      </c>
      <c r="F8" s="19">
        <v>2.0</v>
      </c>
      <c r="G8" s="19">
        <v>2.0</v>
      </c>
      <c r="H8" s="1"/>
      <c r="I8" s="10" t="s">
        <v>16</v>
      </c>
      <c r="J8" s="21" t="s">
        <v>29</v>
      </c>
      <c r="K8" s="1"/>
      <c r="L8" s="1"/>
    </row>
    <row r="9" ht="14.25" customHeight="1" outlineLevel="1">
      <c r="A9" s="18" t="s">
        <v>30</v>
      </c>
      <c r="B9" s="19">
        <v>2.0</v>
      </c>
      <c r="C9" s="19">
        <v>3.0</v>
      </c>
      <c r="D9" s="19">
        <v>1.0</v>
      </c>
      <c r="E9" s="19">
        <v>1.0</v>
      </c>
      <c r="F9" s="19">
        <v>1.0</v>
      </c>
      <c r="G9" s="19">
        <v>1.0</v>
      </c>
      <c r="H9" s="1"/>
      <c r="I9" s="10" t="s">
        <v>17</v>
      </c>
      <c r="J9" s="21" t="s">
        <v>26</v>
      </c>
      <c r="K9" s="1"/>
      <c r="L9" s="1"/>
    </row>
    <row r="10" ht="14.25" customHeight="1" outlineLevel="1">
      <c r="A10" s="24" t="s">
        <v>31</v>
      </c>
      <c r="B10" s="25">
        <f t="shared" ref="B10:G10" si="1">SUM(B6:B9)</f>
        <v>11</v>
      </c>
      <c r="C10" s="25">
        <f t="shared" si="1"/>
        <v>15</v>
      </c>
      <c r="D10" s="25">
        <f t="shared" si="1"/>
        <v>9</v>
      </c>
      <c r="E10" s="25">
        <f t="shared" si="1"/>
        <v>6</v>
      </c>
      <c r="F10" s="25">
        <f t="shared" si="1"/>
        <v>6</v>
      </c>
      <c r="G10" s="25">
        <f t="shared" si="1"/>
        <v>6</v>
      </c>
      <c r="H10" s="1"/>
      <c r="I10" s="10" t="s">
        <v>18</v>
      </c>
      <c r="J10" s="21" t="s">
        <v>29</v>
      </c>
      <c r="K10" s="1"/>
      <c r="L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4.25" customHeight="1" outlineLevel="1">
      <c r="A12" s="3" t="s">
        <v>33</v>
      </c>
      <c r="B12" s="16"/>
      <c r="C12" s="2" t="s">
        <v>9</v>
      </c>
      <c r="D12" s="2" t="s">
        <v>15</v>
      </c>
      <c r="E12" s="2" t="s">
        <v>16</v>
      </c>
      <c r="F12" s="2" t="s">
        <v>17</v>
      </c>
      <c r="G12" s="2" t="s">
        <v>18</v>
      </c>
      <c r="H12" s="1"/>
      <c r="I12" s="26"/>
      <c r="K12" s="1"/>
      <c r="L12" s="1"/>
    </row>
    <row r="13" ht="14.25" customHeight="1" outlineLevel="1">
      <c r="A13" s="18" t="s">
        <v>35</v>
      </c>
      <c r="B13" s="19">
        <v>6.0</v>
      </c>
      <c r="C13" s="19">
        <v>4.0</v>
      </c>
      <c r="D13" s="19">
        <v>8.0</v>
      </c>
      <c r="E13" s="19">
        <v>3.0</v>
      </c>
      <c r="F13" s="19">
        <v>3.0</v>
      </c>
      <c r="G13" s="19">
        <v>2.0</v>
      </c>
      <c r="H13" s="1"/>
      <c r="I13" s="26"/>
      <c r="K13" s="1"/>
      <c r="L13" s="1"/>
    </row>
    <row r="14" ht="14.25" customHeight="1" outlineLevel="1">
      <c r="A14" s="18" t="s">
        <v>37</v>
      </c>
      <c r="B14" s="19">
        <v>4.0</v>
      </c>
      <c r="C14" s="19">
        <v>2.0</v>
      </c>
      <c r="D14" s="19">
        <v>7.0</v>
      </c>
      <c r="E14" s="19">
        <v>5.0</v>
      </c>
      <c r="F14" s="19">
        <v>2.0</v>
      </c>
      <c r="G14" s="19">
        <v>2.0</v>
      </c>
      <c r="H14" s="1"/>
      <c r="I14" s="26"/>
      <c r="K14" s="1"/>
      <c r="L14" s="1"/>
    </row>
    <row r="15" ht="14.25" customHeight="1" outlineLevel="1">
      <c r="A15" s="18" t="s">
        <v>39</v>
      </c>
      <c r="B15" s="19">
        <v>4.0</v>
      </c>
      <c r="C15" s="19">
        <v>2.0</v>
      </c>
      <c r="D15" s="19">
        <v>2.0</v>
      </c>
      <c r="E15" s="19">
        <v>9.0</v>
      </c>
      <c r="F15" s="19">
        <v>2.0</v>
      </c>
      <c r="G15" s="19">
        <v>0.0</v>
      </c>
      <c r="H15" s="1"/>
      <c r="I15" s="1"/>
      <c r="J15" s="1"/>
      <c r="K15" s="1"/>
      <c r="L15" s="1"/>
    </row>
    <row r="16" ht="14.25" customHeight="1" outlineLevel="1">
      <c r="A16" s="18" t="s">
        <v>40</v>
      </c>
      <c r="B16" s="19">
        <v>4.0</v>
      </c>
      <c r="C16" s="19">
        <v>2.0</v>
      </c>
      <c r="D16" s="19">
        <v>7.0</v>
      </c>
      <c r="E16" s="19">
        <v>2.0</v>
      </c>
      <c r="F16" s="19">
        <v>3.0</v>
      </c>
      <c r="G16" s="19">
        <v>2.0</v>
      </c>
      <c r="H16" s="1"/>
      <c r="I16" s="1"/>
      <c r="J16" s="1"/>
      <c r="K16" s="1"/>
      <c r="L16" s="1"/>
    </row>
    <row r="17" ht="14.25" customHeight="1" outlineLevel="1">
      <c r="A17" s="18" t="s">
        <v>41</v>
      </c>
      <c r="B17" s="19">
        <v>5.0</v>
      </c>
      <c r="C17" s="19">
        <v>2.0</v>
      </c>
      <c r="D17" s="19">
        <v>2.0</v>
      </c>
      <c r="E17" s="19">
        <v>0.0</v>
      </c>
      <c r="F17" s="19">
        <v>2.0</v>
      </c>
      <c r="G17" s="19">
        <v>10.0</v>
      </c>
      <c r="H17" s="1"/>
      <c r="I17" s="1"/>
      <c r="J17" s="1"/>
      <c r="K17" s="1"/>
      <c r="L17" s="1"/>
    </row>
    <row r="18" ht="14.25" customHeight="1">
      <c r="A18" s="18" t="s">
        <v>43</v>
      </c>
      <c r="B18" s="19">
        <v>4.0</v>
      </c>
      <c r="C18" s="19">
        <v>3.0</v>
      </c>
      <c r="D18" s="19">
        <v>5.0</v>
      </c>
      <c r="E18" s="19">
        <v>2.0</v>
      </c>
      <c r="F18" s="19">
        <v>2.0</v>
      </c>
      <c r="G18" s="19">
        <v>2.0</v>
      </c>
      <c r="H18" s="1"/>
      <c r="I18" s="1"/>
      <c r="J18" s="1"/>
      <c r="K18" s="1"/>
      <c r="L18" s="1"/>
    </row>
    <row r="19" ht="18.0" customHeight="1" outlineLevel="1">
      <c r="A19" s="24" t="s">
        <v>44</v>
      </c>
      <c r="B19" s="25">
        <f t="shared" ref="B19:G19" si="2">SUM(B13:B18)</f>
        <v>27</v>
      </c>
      <c r="C19" s="25">
        <f t="shared" si="2"/>
        <v>15</v>
      </c>
      <c r="D19" s="25">
        <f t="shared" si="2"/>
        <v>31</v>
      </c>
      <c r="E19" s="25">
        <f t="shared" si="2"/>
        <v>21</v>
      </c>
      <c r="F19" s="25">
        <f t="shared" si="2"/>
        <v>14</v>
      </c>
      <c r="G19" s="25">
        <f t="shared" si="2"/>
        <v>18</v>
      </c>
      <c r="H19" s="1"/>
      <c r="I19" s="1"/>
      <c r="J19" s="1"/>
      <c r="K19" s="1"/>
      <c r="L19" s="1"/>
    </row>
    <row r="20" ht="18.0" customHeight="1" outlineLevel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8.0" customHeight="1" outlineLevel="1">
      <c r="A21" s="3" t="s">
        <v>48</v>
      </c>
      <c r="B21" s="16"/>
      <c r="C21" s="2" t="s">
        <v>9</v>
      </c>
      <c r="D21" s="2" t="s">
        <v>15</v>
      </c>
      <c r="E21" s="2" t="s">
        <v>16</v>
      </c>
      <c r="F21" s="2" t="s">
        <v>17</v>
      </c>
      <c r="G21" s="2" t="s">
        <v>18</v>
      </c>
      <c r="H21" s="1"/>
      <c r="I21" s="1"/>
      <c r="J21" s="1"/>
      <c r="K21" s="1"/>
      <c r="L21" s="1"/>
    </row>
    <row r="22" ht="18.0" customHeight="1" outlineLevel="1">
      <c r="A22" s="18" t="s">
        <v>49</v>
      </c>
      <c r="B22" s="19">
        <v>3.0</v>
      </c>
      <c r="C22" s="19">
        <v>2.0</v>
      </c>
      <c r="D22" s="19">
        <v>5.0</v>
      </c>
      <c r="E22" s="19">
        <v>2.0</v>
      </c>
      <c r="F22" s="19">
        <v>2.0</v>
      </c>
      <c r="G22" s="19">
        <v>2.0</v>
      </c>
      <c r="H22" s="1"/>
      <c r="I22" s="1"/>
      <c r="J22" s="1"/>
      <c r="K22" s="1"/>
      <c r="L22" s="1"/>
    </row>
    <row r="23" ht="18.0" customHeight="1" outlineLevel="1">
      <c r="A23" s="18" t="s">
        <v>50</v>
      </c>
      <c r="B23" s="19">
        <v>6.0</v>
      </c>
      <c r="C23" s="19">
        <v>2.0</v>
      </c>
      <c r="D23" s="19">
        <v>3.0</v>
      </c>
      <c r="E23" s="19">
        <v>16.0</v>
      </c>
      <c r="F23" s="19">
        <v>1.0</v>
      </c>
      <c r="G23" s="19">
        <v>0.0</v>
      </c>
      <c r="H23" s="1"/>
      <c r="I23" s="1"/>
      <c r="J23" s="1"/>
      <c r="K23" s="1"/>
      <c r="L23" s="1"/>
    </row>
    <row r="24" ht="18.0" customHeight="1" outlineLevel="1">
      <c r="A24" s="18" t="s">
        <v>51</v>
      </c>
      <c r="B24" s="19">
        <v>8.0</v>
      </c>
      <c r="C24" s="19">
        <v>2.0</v>
      </c>
      <c r="D24" s="19">
        <v>4.0</v>
      </c>
      <c r="E24" s="19">
        <v>21.0</v>
      </c>
      <c r="F24" s="19">
        <v>3.0</v>
      </c>
      <c r="G24" s="19">
        <v>0.0</v>
      </c>
      <c r="H24" s="1"/>
      <c r="I24" s="1"/>
      <c r="J24" s="1"/>
      <c r="K24" s="1"/>
      <c r="L24" s="1"/>
    </row>
    <row r="25" ht="18.0" customHeight="1" outlineLevel="1">
      <c r="A25" s="11" t="s">
        <v>52</v>
      </c>
      <c r="B25" s="30"/>
      <c r="C25" s="30"/>
      <c r="D25" s="30"/>
      <c r="E25" s="30"/>
      <c r="F25" s="30"/>
      <c r="G25" s="30"/>
      <c r="H25" s="1"/>
      <c r="I25" s="1"/>
      <c r="J25" s="1"/>
      <c r="K25" s="1"/>
      <c r="L25" s="1"/>
    </row>
    <row r="26" ht="18.0" customHeight="1" outlineLevel="1">
      <c r="A26" s="18" t="s">
        <v>53</v>
      </c>
      <c r="B26" s="19">
        <v>3.0</v>
      </c>
      <c r="C26" s="19">
        <v>1.0</v>
      </c>
      <c r="D26" s="19">
        <v>6.0</v>
      </c>
      <c r="E26" s="19">
        <v>2.0</v>
      </c>
      <c r="F26" s="19">
        <v>1.0</v>
      </c>
      <c r="G26" s="19">
        <v>3.0</v>
      </c>
      <c r="H26" s="1"/>
      <c r="I26" s="1"/>
      <c r="J26" s="1"/>
      <c r="K26" s="1"/>
      <c r="L26" s="1"/>
    </row>
    <row r="27" ht="18.0" customHeight="1" outlineLevel="1">
      <c r="A27" s="18" t="s">
        <v>54</v>
      </c>
      <c r="B27" s="19">
        <v>4.0</v>
      </c>
      <c r="C27" s="19">
        <v>1.0</v>
      </c>
      <c r="D27" s="19">
        <v>9.0</v>
      </c>
      <c r="E27" s="19">
        <v>2.0</v>
      </c>
      <c r="F27" s="19">
        <v>1.0</v>
      </c>
      <c r="G27" s="19">
        <v>0.0</v>
      </c>
      <c r="H27" s="1"/>
      <c r="I27" s="1"/>
      <c r="J27" s="1"/>
      <c r="K27" s="1"/>
      <c r="L27" s="1"/>
    </row>
    <row r="28" ht="18.0" customHeight="1" outlineLevel="1">
      <c r="A28" s="18" t="s">
        <v>55</v>
      </c>
      <c r="B28" s="19">
        <v>3.0</v>
      </c>
      <c r="C28" s="19">
        <v>1.0</v>
      </c>
      <c r="D28" s="19">
        <v>2.0</v>
      </c>
      <c r="E28" s="19">
        <v>6.0</v>
      </c>
      <c r="F28" s="19">
        <v>1.0</v>
      </c>
      <c r="G28" s="19">
        <v>0.0</v>
      </c>
      <c r="H28" s="1"/>
      <c r="I28" s="1"/>
      <c r="J28" s="1"/>
      <c r="K28" s="1"/>
      <c r="L28" s="1"/>
    </row>
    <row r="29" ht="18.0" customHeight="1" outlineLevel="1">
      <c r="A29" s="18" t="s">
        <v>56</v>
      </c>
      <c r="B29" s="19">
        <v>3.0</v>
      </c>
      <c r="C29" s="19">
        <v>1.0</v>
      </c>
      <c r="D29" s="19">
        <v>6.0</v>
      </c>
      <c r="E29" s="19">
        <v>2.0</v>
      </c>
      <c r="F29" s="19">
        <v>1.0</v>
      </c>
      <c r="G29" s="19">
        <v>2.0</v>
      </c>
      <c r="H29" s="1"/>
      <c r="I29" s="1"/>
      <c r="J29" s="1"/>
      <c r="K29" s="1"/>
      <c r="L29" s="1"/>
    </row>
    <row r="30" ht="18.0" customHeight="1" outlineLevel="1">
      <c r="A30" s="11" t="s">
        <v>57</v>
      </c>
      <c r="B30" s="30"/>
      <c r="C30" s="30"/>
      <c r="D30" s="30"/>
      <c r="E30" s="30"/>
      <c r="F30" s="30"/>
      <c r="G30" s="30"/>
      <c r="H30" s="1"/>
      <c r="I30" s="1"/>
      <c r="J30" s="1"/>
      <c r="K30" s="1"/>
      <c r="L30" s="1"/>
    </row>
    <row r="31" ht="18.0" customHeight="1" outlineLevel="1">
      <c r="A31" s="18" t="s">
        <v>58</v>
      </c>
      <c r="B31" s="19">
        <v>4.0</v>
      </c>
      <c r="C31" s="19">
        <v>1.0</v>
      </c>
      <c r="D31" s="19">
        <v>8.0</v>
      </c>
      <c r="E31" s="19">
        <v>2.0</v>
      </c>
      <c r="F31" s="19">
        <v>1.0</v>
      </c>
      <c r="G31" s="19">
        <v>1.0</v>
      </c>
      <c r="H31" s="1"/>
      <c r="I31" s="1"/>
      <c r="J31" s="1"/>
      <c r="K31" s="1"/>
      <c r="L31" s="1"/>
    </row>
    <row r="32" ht="18.0" customHeight="1" outlineLevel="1">
      <c r="A32" s="18" t="s">
        <v>59</v>
      </c>
      <c r="B32" s="19">
        <v>3.0</v>
      </c>
      <c r="C32" s="19">
        <v>1.0</v>
      </c>
      <c r="D32" s="19">
        <v>4.0</v>
      </c>
      <c r="E32" s="19">
        <v>5.0</v>
      </c>
      <c r="F32" s="19">
        <v>1.0</v>
      </c>
      <c r="G32" s="19">
        <v>2.0</v>
      </c>
      <c r="H32" s="1"/>
      <c r="I32" s="1"/>
      <c r="J32" s="1"/>
      <c r="K32" s="1"/>
      <c r="L32" s="1"/>
    </row>
    <row r="33" ht="18.0" customHeight="1" outlineLevel="1">
      <c r="A33" s="11" t="s">
        <v>60</v>
      </c>
      <c r="B33" s="30"/>
      <c r="C33" s="30"/>
      <c r="D33" s="30"/>
      <c r="E33" s="30"/>
      <c r="F33" s="30"/>
      <c r="G33" s="30"/>
      <c r="H33" s="1"/>
      <c r="I33" s="1"/>
      <c r="J33" s="1"/>
      <c r="K33" s="1"/>
      <c r="L33" s="1"/>
    </row>
    <row r="34" ht="18.0" customHeight="1" outlineLevel="1">
      <c r="A34" s="18" t="s">
        <v>61</v>
      </c>
      <c r="B34" s="19">
        <v>4.0</v>
      </c>
      <c r="C34" s="19">
        <v>2.0</v>
      </c>
      <c r="D34" s="19">
        <v>8.0</v>
      </c>
      <c r="E34" s="19">
        <v>4.0</v>
      </c>
      <c r="F34" s="19">
        <v>1.0</v>
      </c>
      <c r="G34" s="19">
        <v>1.0</v>
      </c>
      <c r="H34" s="1"/>
      <c r="I34" s="1"/>
      <c r="J34" s="1"/>
      <c r="K34" s="1"/>
      <c r="L34" s="1"/>
    </row>
    <row r="35" ht="18.0" customHeight="1" outlineLevel="1">
      <c r="A35" s="18" t="s">
        <v>62</v>
      </c>
      <c r="B35" s="19">
        <v>3.0</v>
      </c>
      <c r="C35" s="19">
        <v>1.0</v>
      </c>
      <c r="D35" s="19">
        <v>6.0</v>
      </c>
      <c r="E35" s="19">
        <v>1.0</v>
      </c>
      <c r="F35" s="19">
        <v>1.0</v>
      </c>
      <c r="G35" s="19">
        <v>0.0</v>
      </c>
      <c r="H35" s="1"/>
      <c r="I35" s="1"/>
      <c r="J35" s="1"/>
      <c r="K35" s="1"/>
      <c r="L35" s="1"/>
    </row>
    <row r="36" ht="18.0" customHeight="1" outlineLevel="1">
      <c r="A36" s="18" t="s">
        <v>65</v>
      </c>
      <c r="B36" s="19">
        <v>3.0</v>
      </c>
      <c r="C36" s="19">
        <v>1.0</v>
      </c>
      <c r="D36" s="19">
        <v>5.0</v>
      </c>
      <c r="E36" s="19">
        <v>3.0</v>
      </c>
      <c r="F36" s="19">
        <v>1.0</v>
      </c>
      <c r="G36" s="19">
        <v>0.0</v>
      </c>
      <c r="H36" s="1"/>
      <c r="I36" s="1"/>
      <c r="J36" s="1"/>
      <c r="K36" s="1"/>
      <c r="L36" s="1"/>
    </row>
    <row r="37" ht="18.0" customHeight="1" outlineLevel="1">
      <c r="A37" s="11" t="s">
        <v>66</v>
      </c>
      <c r="B37" s="30"/>
      <c r="C37" s="30"/>
      <c r="D37" s="30"/>
      <c r="E37" s="30"/>
      <c r="F37" s="30"/>
      <c r="G37" s="30"/>
      <c r="H37" s="1"/>
      <c r="I37" s="1"/>
      <c r="J37" s="1"/>
      <c r="K37" s="1"/>
      <c r="L37" s="1"/>
    </row>
    <row r="38" ht="18.0" customHeight="1" outlineLevel="1">
      <c r="A38" s="18" t="s">
        <v>69</v>
      </c>
      <c r="B38" s="19">
        <v>5.0</v>
      </c>
      <c r="C38" s="19">
        <v>1.0</v>
      </c>
      <c r="D38" s="19">
        <v>9.0</v>
      </c>
      <c r="E38" s="19">
        <v>2.0</v>
      </c>
      <c r="F38" s="19">
        <v>2.0</v>
      </c>
      <c r="G38" s="19">
        <v>3.0</v>
      </c>
      <c r="H38" s="1"/>
      <c r="I38" s="1"/>
      <c r="J38" s="1"/>
      <c r="K38" s="1"/>
      <c r="L38" s="1"/>
    </row>
    <row r="39" ht="18.0" customHeight="1" outlineLevel="1">
      <c r="A39" s="18" t="s">
        <v>70</v>
      </c>
      <c r="B39" s="19">
        <v>2.0</v>
      </c>
      <c r="C39" s="19">
        <v>1.0</v>
      </c>
      <c r="D39" s="19">
        <v>3.0</v>
      </c>
      <c r="E39" s="19">
        <v>1.0</v>
      </c>
      <c r="F39" s="19">
        <v>2.0</v>
      </c>
      <c r="G39" s="19">
        <v>2.0</v>
      </c>
      <c r="H39" s="1"/>
      <c r="I39" s="1"/>
      <c r="J39" s="1"/>
      <c r="K39" s="1"/>
      <c r="L39" s="1"/>
    </row>
    <row r="40" ht="18.0" customHeight="1" outlineLevel="1">
      <c r="A40" s="18" t="s">
        <v>71</v>
      </c>
      <c r="B40" s="19">
        <v>3.0</v>
      </c>
      <c r="C40" s="19">
        <v>1.0</v>
      </c>
      <c r="D40" s="19">
        <v>4.0</v>
      </c>
      <c r="E40" s="19">
        <v>4.0</v>
      </c>
      <c r="F40" s="19">
        <v>1.0</v>
      </c>
      <c r="G40" s="19">
        <v>0.0</v>
      </c>
      <c r="H40" s="1"/>
      <c r="I40" s="1"/>
      <c r="J40" s="1"/>
      <c r="K40" s="1"/>
      <c r="L40" s="1"/>
    </row>
    <row r="41" ht="18.0" customHeight="1" outlineLevel="1">
      <c r="A41" s="11" t="s">
        <v>72</v>
      </c>
      <c r="B41" s="30"/>
      <c r="C41" s="30"/>
      <c r="D41" s="30"/>
      <c r="E41" s="30"/>
      <c r="F41" s="30"/>
      <c r="G41" s="30"/>
      <c r="H41" s="1"/>
      <c r="I41" s="1"/>
      <c r="J41" s="1"/>
      <c r="K41" s="1"/>
      <c r="L41" s="1"/>
    </row>
    <row r="42" ht="18.0" customHeight="1" outlineLevel="1">
      <c r="A42" s="18" t="s">
        <v>74</v>
      </c>
      <c r="B42" s="19">
        <v>5.0</v>
      </c>
      <c r="C42" s="19">
        <v>2.0</v>
      </c>
      <c r="D42" s="19">
        <v>4.0</v>
      </c>
      <c r="E42" s="19">
        <v>12.0</v>
      </c>
      <c r="F42" s="19">
        <v>2.0</v>
      </c>
      <c r="G42" s="19">
        <v>0.0</v>
      </c>
      <c r="H42" s="1"/>
      <c r="I42" s="1"/>
      <c r="J42" s="1"/>
      <c r="K42" s="1"/>
      <c r="L42" s="1"/>
    </row>
    <row r="43" ht="18.0" customHeight="1" outlineLevel="1">
      <c r="A43" s="18" t="s">
        <v>75</v>
      </c>
      <c r="B43" s="19">
        <v>5.0</v>
      </c>
      <c r="C43" s="19">
        <v>2.0</v>
      </c>
      <c r="D43" s="19">
        <v>10.0</v>
      </c>
      <c r="E43" s="19">
        <v>1.0</v>
      </c>
      <c r="F43" s="19">
        <v>2.0</v>
      </c>
      <c r="G43" s="19">
        <v>4.0</v>
      </c>
      <c r="H43" s="1"/>
      <c r="I43" s="1"/>
      <c r="J43" s="1"/>
      <c r="K43" s="1"/>
      <c r="L43" s="1"/>
    </row>
    <row r="44" ht="18.0" customHeight="1" outlineLevel="1">
      <c r="A44" s="18" t="s">
        <v>76</v>
      </c>
      <c r="B44" s="19">
        <v>4.0</v>
      </c>
      <c r="C44" s="19">
        <v>1.0</v>
      </c>
      <c r="D44" s="19">
        <v>8.0</v>
      </c>
      <c r="E44" s="19">
        <v>2.0</v>
      </c>
      <c r="F44" s="19">
        <v>1.0</v>
      </c>
      <c r="G44" s="19">
        <v>2.0</v>
      </c>
      <c r="H44" s="1"/>
      <c r="I44" s="1"/>
      <c r="J44" s="1"/>
      <c r="K44" s="1"/>
      <c r="L44" s="1"/>
    </row>
    <row r="45" ht="18.0" customHeight="1" outlineLevel="1">
      <c r="A45" s="18" t="s">
        <v>77</v>
      </c>
      <c r="B45" s="19">
        <v>3.0</v>
      </c>
      <c r="C45" s="19">
        <v>1.0</v>
      </c>
      <c r="D45" s="19">
        <v>5.0</v>
      </c>
      <c r="E45" s="19">
        <v>1.0</v>
      </c>
      <c r="F45" s="19">
        <v>1.0</v>
      </c>
      <c r="G45" s="19">
        <v>2.0</v>
      </c>
      <c r="H45" s="1"/>
      <c r="I45" s="1"/>
      <c r="J45" s="1"/>
      <c r="K45" s="1"/>
      <c r="L45" s="1"/>
    </row>
    <row r="46" ht="18.0" customHeight="1" outlineLevel="1">
      <c r="A46" s="18" t="s">
        <v>79</v>
      </c>
      <c r="B46" s="19">
        <v>2.0</v>
      </c>
      <c r="C46" s="19">
        <v>1.0</v>
      </c>
      <c r="D46" s="19">
        <v>3.0</v>
      </c>
      <c r="E46" s="19">
        <v>2.0</v>
      </c>
      <c r="F46" s="19">
        <v>2.0</v>
      </c>
      <c r="G46" s="19">
        <v>2.0</v>
      </c>
      <c r="H46" s="1"/>
      <c r="I46" s="1"/>
      <c r="J46" s="1"/>
      <c r="K46" s="1"/>
      <c r="L46" s="1"/>
    </row>
    <row r="47" ht="14.25" customHeight="1">
      <c r="A47" s="11" t="s">
        <v>80</v>
      </c>
      <c r="B47" s="30"/>
      <c r="C47" s="30"/>
      <c r="D47" s="30"/>
      <c r="E47" s="30"/>
      <c r="F47" s="30"/>
      <c r="G47" s="30"/>
      <c r="H47" s="1"/>
      <c r="I47" s="1"/>
      <c r="J47" s="1"/>
      <c r="K47" s="1"/>
      <c r="L47" s="1"/>
    </row>
    <row r="48" ht="14.25" customHeight="1">
      <c r="A48" s="18" t="s">
        <v>82</v>
      </c>
      <c r="B48" s="19">
        <v>3.0</v>
      </c>
      <c r="C48" s="19">
        <v>1.0</v>
      </c>
      <c r="D48" s="19">
        <v>5.0</v>
      </c>
      <c r="E48" s="19">
        <v>1.0</v>
      </c>
      <c r="F48" s="19">
        <v>1.0</v>
      </c>
      <c r="G48" s="19">
        <v>1.0</v>
      </c>
      <c r="H48" s="1"/>
      <c r="I48" s="1"/>
      <c r="J48" s="1"/>
      <c r="K48" s="1"/>
      <c r="L48" s="1"/>
    </row>
    <row r="49" ht="14.25" customHeight="1" outlineLevel="1">
      <c r="A49" s="18" t="s">
        <v>84</v>
      </c>
      <c r="B49" s="19">
        <v>3.0</v>
      </c>
      <c r="C49" s="19">
        <v>1.0</v>
      </c>
      <c r="D49" s="19">
        <v>5.0</v>
      </c>
      <c r="E49" s="19">
        <v>2.0</v>
      </c>
      <c r="F49" s="19">
        <v>1.0</v>
      </c>
      <c r="G49" s="19">
        <v>2.0</v>
      </c>
      <c r="H49" s="1"/>
      <c r="I49" s="1"/>
      <c r="J49" s="1"/>
      <c r="K49" s="1"/>
      <c r="L49" s="1"/>
    </row>
    <row r="50" ht="14.25" customHeight="1" outlineLevel="1">
      <c r="A50" s="11" t="s">
        <v>85</v>
      </c>
      <c r="B50" s="30"/>
      <c r="C50" s="30"/>
      <c r="D50" s="30"/>
      <c r="E50" s="30"/>
      <c r="F50" s="30"/>
      <c r="G50" s="30"/>
      <c r="H50" s="1"/>
      <c r="I50" s="1"/>
      <c r="J50" s="1"/>
      <c r="K50" s="1"/>
      <c r="L50" s="1"/>
    </row>
    <row r="51" ht="14.25" customHeight="1" outlineLevel="1">
      <c r="A51" s="18" t="s">
        <v>87</v>
      </c>
      <c r="B51" s="19">
        <v>4.0</v>
      </c>
      <c r="C51" s="19">
        <v>2.0</v>
      </c>
      <c r="D51" s="19">
        <v>5.0</v>
      </c>
      <c r="E51" s="19">
        <v>7.0</v>
      </c>
      <c r="F51" s="19">
        <v>1.0</v>
      </c>
      <c r="G51" s="19">
        <v>0.0</v>
      </c>
      <c r="H51" s="1"/>
      <c r="I51" s="1"/>
      <c r="J51" s="1"/>
      <c r="K51" s="1"/>
      <c r="L51" s="1"/>
    </row>
    <row r="52" ht="14.25" customHeight="1" outlineLevel="1">
      <c r="A52" s="18" t="s">
        <v>88</v>
      </c>
      <c r="B52" s="19">
        <v>2.0</v>
      </c>
      <c r="C52" s="19">
        <v>1.0</v>
      </c>
      <c r="D52" s="19">
        <v>2.0</v>
      </c>
      <c r="E52" s="19">
        <v>3.0</v>
      </c>
      <c r="F52" s="19">
        <v>2.0</v>
      </c>
      <c r="G52" s="19">
        <v>0.0</v>
      </c>
      <c r="H52" s="1"/>
      <c r="I52" s="1"/>
      <c r="J52" s="1"/>
      <c r="K52" s="1"/>
      <c r="L52" s="1"/>
    </row>
    <row r="53" ht="14.25" customHeight="1">
      <c r="A53" s="24" t="s">
        <v>89</v>
      </c>
      <c r="B53" s="25">
        <f t="shared" ref="B53:G53" si="3">SUM(B22:B52)</f>
        <v>88</v>
      </c>
      <c r="C53" s="25">
        <f t="shared" si="3"/>
        <v>31</v>
      </c>
      <c r="D53" s="25">
        <f t="shared" si="3"/>
        <v>129</v>
      </c>
      <c r="E53" s="25">
        <f t="shared" si="3"/>
        <v>104</v>
      </c>
      <c r="F53" s="25">
        <f t="shared" si="3"/>
        <v>33</v>
      </c>
      <c r="G53" s="25">
        <f t="shared" si="3"/>
        <v>29</v>
      </c>
      <c r="H53" s="1"/>
      <c r="I53" s="1"/>
      <c r="J53" s="1"/>
      <c r="K53" s="1"/>
      <c r="L53" s="1"/>
    </row>
    <row r="54" ht="14.25" customHeight="1" outlineLevel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4.25" customHeight="1" outlineLevel="1">
      <c r="A55" s="3" t="s">
        <v>92</v>
      </c>
      <c r="B55" s="16"/>
      <c r="C55" s="2" t="s">
        <v>9</v>
      </c>
      <c r="D55" s="2" t="s">
        <v>15</v>
      </c>
      <c r="E55" s="2" t="s">
        <v>16</v>
      </c>
      <c r="F55" s="2" t="s">
        <v>17</v>
      </c>
      <c r="G55" s="2" t="s">
        <v>18</v>
      </c>
      <c r="H55" s="1"/>
      <c r="I55" s="1"/>
      <c r="J55" s="1"/>
      <c r="K55" s="1"/>
      <c r="L55" s="1"/>
    </row>
    <row r="56" ht="14.25" customHeight="1" outlineLevel="1">
      <c r="A56" s="18" t="s">
        <v>94</v>
      </c>
      <c r="B56" s="19">
        <v>2.0</v>
      </c>
      <c r="C56" s="19">
        <v>1.0</v>
      </c>
      <c r="D56" s="19">
        <v>2.0</v>
      </c>
      <c r="E56" s="19">
        <v>1.0</v>
      </c>
      <c r="F56" s="19">
        <v>4.0</v>
      </c>
      <c r="G56" s="19">
        <v>0.0</v>
      </c>
      <c r="H56" s="1"/>
      <c r="I56" s="1"/>
      <c r="J56" s="1"/>
      <c r="K56" s="1"/>
      <c r="L56" s="1"/>
    </row>
    <row r="57" ht="14.25" customHeight="1" outlineLevel="1">
      <c r="A57" s="18" t="s">
        <v>95</v>
      </c>
      <c r="B57" s="19">
        <v>6.0</v>
      </c>
      <c r="C57" s="19">
        <v>2.0</v>
      </c>
      <c r="D57" s="19">
        <v>5.0</v>
      </c>
      <c r="E57" s="19">
        <v>2.0</v>
      </c>
      <c r="F57" s="19">
        <v>15.0</v>
      </c>
      <c r="G57" s="19">
        <v>2.0</v>
      </c>
      <c r="H57" s="1"/>
      <c r="I57" s="1"/>
      <c r="J57" s="1"/>
      <c r="K57" s="1"/>
      <c r="L57" s="1"/>
    </row>
    <row r="58" ht="14.25" customHeight="1">
      <c r="A58" s="18" t="s">
        <v>96</v>
      </c>
      <c r="B58" s="19">
        <v>4.0</v>
      </c>
      <c r="C58" s="19">
        <v>1.0</v>
      </c>
      <c r="D58" s="19">
        <v>3.0</v>
      </c>
      <c r="E58" s="19">
        <v>6.0</v>
      </c>
      <c r="F58" s="19">
        <v>9.0</v>
      </c>
      <c r="G58" s="19">
        <v>0.0</v>
      </c>
      <c r="H58" s="1"/>
      <c r="I58" s="1"/>
      <c r="J58" s="1"/>
      <c r="K58" s="1"/>
      <c r="L58" s="1"/>
    </row>
    <row r="59" ht="14.25" customHeight="1">
      <c r="A59" s="18" t="s">
        <v>98</v>
      </c>
      <c r="B59" s="19">
        <v>4.0</v>
      </c>
      <c r="C59" s="19">
        <v>1.0</v>
      </c>
      <c r="D59" s="19">
        <v>3.0</v>
      </c>
      <c r="E59" s="19">
        <v>2.0</v>
      </c>
      <c r="F59" s="19">
        <v>9.0</v>
      </c>
      <c r="G59" s="19">
        <v>1.0</v>
      </c>
      <c r="H59" s="1"/>
      <c r="I59" s="1"/>
      <c r="J59" s="1"/>
      <c r="K59" s="1"/>
      <c r="L59" s="1"/>
    </row>
    <row r="60" ht="14.25" customHeight="1">
      <c r="A60" s="18" t="s">
        <v>99</v>
      </c>
      <c r="B60" s="19">
        <v>4.0</v>
      </c>
      <c r="C60" s="19">
        <v>2.0</v>
      </c>
      <c r="D60" s="19">
        <v>9.0</v>
      </c>
      <c r="E60" s="19">
        <v>4.0</v>
      </c>
      <c r="F60" s="19">
        <v>4.0</v>
      </c>
      <c r="G60" s="19">
        <v>1.0</v>
      </c>
      <c r="H60" s="1"/>
      <c r="I60" s="1"/>
      <c r="J60" s="1"/>
      <c r="K60" s="1"/>
      <c r="L60" s="1"/>
    </row>
    <row r="61" ht="14.25" customHeight="1">
      <c r="A61" s="24" t="s">
        <v>100</v>
      </c>
      <c r="B61" s="25">
        <f t="shared" ref="B61:G61" si="4">SUM(B56:B60)</f>
        <v>20</v>
      </c>
      <c r="C61" s="25">
        <f t="shared" si="4"/>
        <v>7</v>
      </c>
      <c r="D61" s="25">
        <f t="shared" si="4"/>
        <v>22</v>
      </c>
      <c r="E61" s="25">
        <f t="shared" si="4"/>
        <v>15</v>
      </c>
      <c r="F61" s="25">
        <f t="shared" si="4"/>
        <v>41</v>
      </c>
      <c r="G61" s="25">
        <f t="shared" si="4"/>
        <v>4</v>
      </c>
      <c r="H61" s="1"/>
      <c r="I61" s="1"/>
      <c r="J61" s="1"/>
      <c r="K61" s="1"/>
      <c r="L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4.25" customHeight="1">
      <c r="A63" s="3" t="s">
        <v>102</v>
      </c>
      <c r="B63" s="16"/>
      <c r="C63" s="2" t="s">
        <v>9</v>
      </c>
      <c r="D63" s="2" t="s">
        <v>15</v>
      </c>
      <c r="E63" s="2" t="s">
        <v>16</v>
      </c>
      <c r="F63" s="2" t="s">
        <v>17</v>
      </c>
      <c r="G63" s="2" t="s">
        <v>18</v>
      </c>
      <c r="H63" s="1"/>
      <c r="I63" s="1"/>
      <c r="J63" s="1"/>
      <c r="K63" s="1"/>
      <c r="L63" s="1"/>
    </row>
    <row r="64" ht="14.25" customHeight="1">
      <c r="A64" s="18" t="s">
        <v>104</v>
      </c>
      <c r="B64" s="19">
        <v>3.0</v>
      </c>
      <c r="C64" s="19">
        <v>1.0</v>
      </c>
      <c r="D64" s="19">
        <v>5.0</v>
      </c>
      <c r="E64" s="19">
        <v>3.0</v>
      </c>
      <c r="F64" s="19">
        <v>1.0</v>
      </c>
      <c r="G64" s="19">
        <v>1.0</v>
      </c>
      <c r="H64" s="1"/>
      <c r="I64" s="1"/>
      <c r="J64" s="1"/>
      <c r="K64" s="1"/>
      <c r="L64" s="1"/>
    </row>
    <row r="65" ht="14.25" customHeight="1">
      <c r="A65" s="18" t="s">
        <v>106</v>
      </c>
      <c r="B65" s="19">
        <v>3.0</v>
      </c>
      <c r="C65" s="19">
        <v>3.0</v>
      </c>
      <c r="D65" s="19">
        <v>2.0</v>
      </c>
      <c r="E65" s="19">
        <v>2.0</v>
      </c>
      <c r="F65" s="19">
        <v>2.0</v>
      </c>
      <c r="G65" s="19">
        <v>2.0</v>
      </c>
      <c r="H65" s="1"/>
      <c r="I65" s="1"/>
      <c r="J65" s="1"/>
      <c r="K65" s="1"/>
      <c r="L65" s="1"/>
    </row>
    <row r="66" ht="14.25" customHeight="1">
      <c r="A66" s="18" t="s">
        <v>109</v>
      </c>
      <c r="B66" s="19">
        <v>4.0</v>
      </c>
      <c r="C66" s="19">
        <v>1.0</v>
      </c>
      <c r="D66" s="19">
        <v>2.0</v>
      </c>
      <c r="E66" s="19">
        <v>2.0</v>
      </c>
      <c r="F66" s="19">
        <v>1.0</v>
      </c>
      <c r="G66" s="19">
        <v>5.0</v>
      </c>
      <c r="H66" s="1"/>
      <c r="I66" s="1"/>
      <c r="J66" s="1"/>
      <c r="K66" s="1"/>
      <c r="L66" s="1"/>
    </row>
    <row r="67" ht="14.25" customHeight="1">
      <c r="A67" s="18" t="s">
        <v>111</v>
      </c>
      <c r="B67" s="19">
        <v>2.0</v>
      </c>
      <c r="C67" s="19">
        <v>3.0</v>
      </c>
      <c r="D67" s="19">
        <v>2.0</v>
      </c>
      <c r="E67" s="19">
        <v>2.0</v>
      </c>
      <c r="F67" s="19">
        <v>2.0</v>
      </c>
      <c r="G67" s="19">
        <v>2.0</v>
      </c>
      <c r="H67" s="1"/>
      <c r="I67" s="1"/>
      <c r="J67" s="1"/>
      <c r="K67" s="1"/>
      <c r="L67" s="1"/>
    </row>
    <row r="68" ht="14.25" customHeight="1">
      <c r="A68" s="24" t="s">
        <v>112</v>
      </c>
      <c r="B68" s="25">
        <f t="shared" ref="B68:G68" si="5">SUM(B64:B67)</f>
        <v>12</v>
      </c>
      <c r="C68" s="25">
        <f t="shared" si="5"/>
        <v>8</v>
      </c>
      <c r="D68" s="25">
        <f t="shared" si="5"/>
        <v>11</v>
      </c>
      <c r="E68" s="25">
        <f t="shared" si="5"/>
        <v>9</v>
      </c>
      <c r="F68" s="25">
        <f t="shared" si="5"/>
        <v>6</v>
      </c>
      <c r="G68" s="25">
        <f t="shared" si="5"/>
        <v>10</v>
      </c>
      <c r="H68" s="1"/>
      <c r="I68" s="1"/>
      <c r="J68" s="1"/>
      <c r="K68" s="1"/>
      <c r="L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4.25" customHeight="1">
      <c r="A70" s="37" t="s">
        <v>113</v>
      </c>
      <c r="B70" s="38">
        <f t="shared" ref="B70:G70" si="6">B10+B19+B53+B61+B68</f>
        <v>158</v>
      </c>
      <c r="C70" s="38">
        <f t="shared" si="6"/>
        <v>76</v>
      </c>
      <c r="D70" s="38">
        <f t="shared" si="6"/>
        <v>202</v>
      </c>
      <c r="E70" s="38">
        <f t="shared" si="6"/>
        <v>155</v>
      </c>
      <c r="F70" s="38">
        <f t="shared" si="6"/>
        <v>100</v>
      </c>
      <c r="G70" s="38">
        <f t="shared" si="6"/>
        <v>67</v>
      </c>
      <c r="H70" s="1"/>
      <c r="I70" s="1"/>
      <c r="J70" s="1"/>
      <c r="K70" s="1"/>
      <c r="L70" s="1"/>
    </row>
    <row r="71" ht="14.25" customHeight="1">
      <c r="A71" s="39" t="s">
        <v>114</v>
      </c>
      <c r="B71" s="15"/>
      <c r="C71" s="38">
        <f>SUM(C70:G70)</f>
        <v>600</v>
      </c>
      <c r="D71" s="40"/>
      <c r="E71" s="40"/>
      <c r="F71" s="40"/>
      <c r="G71" s="40"/>
      <c r="H71" s="1"/>
      <c r="I71" s="1"/>
      <c r="J71" s="1"/>
      <c r="K71" s="1"/>
      <c r="L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0" customHeight="1">
      <c r="A73" s="41"/>
      <c r="H73" s="1"/>
      <c r="I73" s="1"/>
      <c r="J73" s="1"/>
      <c r="K73" s="1"/>
      <c r="L73" s="1"/>
    </row>
    <row r="74" ht="30.0" customHeight="1">
      <c r="A74" s="42"/>
      <c r="H74" s="1"/>
      <c r="I74" s="1"/>
      <c r="J74" s="1"/>
      <c r="K74" s="1"/>
      <c r="L74" s="1"/>
    </row>
    <row r="75" ht="30.0" customHeight="1">
      <c r="A75" s="42"/>
      <c r="H75" s="1"/>
      <c r="I75" s="1"/>
      <c r="J75" s="1"/>
      <c r="K75" s="1"/>
      <c r="L75" s="1"/>
    </row>
    <row r="76" ht="30.0" customHeight="1">
      <c r="A76" s="42"/>
      <c r="H76" s="1"/>
      <c r="I76" s="1"/>
      <c r="J76" s="1"/>
      <c r="K76" s="1"/>
      <c r="L76" s="1"/>
    </row>
    <row r="77" ht="30.0" customHeight="1">
      <c r="A77" s="42"/>
      <c r="H77" s="1"/>
      <c r="I77" s="1"/>
      <c r="J77" s="1"/>
      <c r="K77" s="1"/>
      <c r="L77" s="1"/>
    </row>
    <row r="78" ht="30.0" customHeight="1">
      <c r="A78" s="42"/>
      <c r="H78" s="1"/>
      <c r="I78" s="1"/>
      <c r="J78" s="1"/>
      <c r="K78" s="1"/>
      <c r="L78" s="1"/>
    </row>
    <row r="79" ht="15.0" customHeight="1">
      <c r="A79" s="42"/>
      <c r="H79" s="1"/>
      <c r="I79" s="1"/>
      <c r="J79" s="1"/>
      <c r="K79" s="1"/>
      <c r="L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73:G73"/>
    <mergeCell ref="A74:G74"/>
    <mergeCell ref="A75:G75"/>
    <mergeCell ref="A76:G76"/>
    <mergeCell ref="A77:G77"/>
    <mergeCell ref="A78:G78"/>
    <mergeCell ref="A79:G79"/>
    <mergeCell ref="A2:D2"/>
    <mergeCell ref="C4:G4"/>
    <mergeCell ref="I4:J4"/>
    <mergeCell ref="I12:J12"/>
    <mergeCell ref="I13:J13"/>
    <mergeCell ref="I14:J14"/>
    <mergeCell ref="A71:B7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23.43"/>
    <col customWidth="1" min="9" max="9" width="31.14"/>
    <col customWidth="1" min="10" max="10" width="16.0"/>
    <col customWidth="1" min="11" max="11" width="15.29"/>
  </cols>
  <sheetData>
    <row r="1" ht="14.25" customHeight="1"/>
    <row r="2" ht="14.25" customHeight="1">
      <c r="A2" s="2" t="s">
        <v>0</v>
      </c>
      <c r="B2" s="3" t="s">
        <v>1</v>
      </c>
      <c r="C2" s="2" t="s">
        <v>2</v>
      </c>
      <c r="D2" s="2" t="s">
        <v>4</v>
      </c>
      <c r="E2" s="2" t="s">
        <v>5</v>
      </c>
      <c r="F2" s="2" t="s">
        <v>6</v>
      </c>
      <c r="H2" s="7" t="s">
        <v>7</v>
      </c>
      <c r="I2" s="8"/>
      <c r="J2" s="8"/>
      <c r="K2" s="9"/>
    </row>
    <row r="3" ht="14.25" customHeight="1">
      <c r="A3" s="10" t="s">
        <v>8</v>
      </c>
      <c r="B3" s="10" t="s">
        <v>9</v>
      </c>
      <c r="C3" s="10" t="str">
        <f>IF(EDT!$J$6="","",EDT!$J$6)</f>
        <v>Christian Soto</v>
      </c>
      <c r="D3" s="17">
        <f>$J$4</f>
        <v>16000</v>
      </c>
      <c r="E3" s="20">
        <f>EDT!C10</f>
        <v>15</v>
      </c>
      <c r="F3" s="17">
        <f t="shared" ref="F3:F7" si="1">D3*E3</f>
        <v>240000</v>
      </c>
      <c r="H3" s="22" t="s">
        <v>1</v>
      </c>
      <c r="I3" s="22" t="s">
        <v>2</v>
      </c>
      <c r="J3" s="22" t="s">
        <v>24</v>
      </c>
      <c r="K3" s="22" t="s">
        <v>25</v>
      </c>
    </row>
    <row r="4" ht="14.25" customHeight="1">
      <c r="A4" s="10" t="s">
        <v>27</v>
      </c>
      <c r="B4" s="10" t="s">
        <v>15</v>
      </c>
      <c r="C4" s="23" t="str">
        <f>IF(EDT!$J$7="","",EDT!$J$7)</f>
        <v>Kevin Herrera</v>
      </c>
      <c r="D4" s="17">
        <f>$J$5</f>
        <v>12000</v>
      </c>
      <c r="E4" s="20">
        <f>EDT!D10</f>
        <v>9</v>
      </c>
      <c r="F4" s="17">
        <f t="shared" si="1"/>
        <v>108000</v>
      </c>
      <c r="H4" s="10" t="s">
        <v>9</v>
      </c>
      <c r="I4" s="10" t="str">
        <f>IF(EDT!$J$6="","",EDT!$J$6)</f>
        <v>Christian Soto</v>
      </c>
      <c r="J4" s="17">
        <v>16000.0</v>
      </c>
      <c r="K4" s="10"/>
    </row>
    <row r="5" ht="14.25" customHeight="1">
      <c r="A5" s="10" t="s">
        <v>16</v>
      </c>
      <c r="B5" s="10" t="s">
        <v>32</v>
      </c>
      <c r="C5" s="10" t="str">
        <f>IF(EDT!$J$8="","",EDT!$J$8)</f>
        <v>Gerald Silva</v>
      </c>
      <c r="D5" s="17">
        <f>$J$6</f>
        <v>12000</v>
      </c>
      <c r="E5" s="20">
        <f>EDT!E10</f>
        <v>6</v>
      </c>
      <c r="F5" s="17">
        <f t="shared" si="1"/>
        <v>72000</v>
      </c>
      <c r="H5" s="10" t="s">
        <v>15</v>
      </c>
      <c r="I5" s="23" t="str">
        <f>IF(EDT!$J$7="","",EDT!$J$7)</f>
        <v>Kevin Herrera</v>
      </c>
      <c r="J5" s="17">
        <v>12000.0</v>
      </c>
      <c r="K5" s="10"/>
    </row>
    <row r="6" ht="14.25" customHeight="1">
      <c r="A6" s="10" t="s">
        <v>17</v>
      </c>
      <c r="B6" s="10" t="s">
        <v>34</v>
      </c>
      <c r="C6" s="10" t="str">
        <f>IF(EDT!$J$9="","",EDT!$J$9)</f>
        <v>Kevin Herrera</v>
      </c>
      <c r="D6" s="17">
        <f>$J$7</f>
        <v>8500</v>
      </c>
      <c r="E6" s="20">
        <f>EDT!F10</f>
        <v>6</v>
      </c>
      <c r="F6" s="17">
        <f t="shared" si="1"/>
        <v>51000</v>
      </c>
      <c r="H6" s="10" t="s">
        <v>36</v>
      </c>
      <c r="I6" s="10" t="str">
        <f>IF(EDT!$J$8="","",EDT!$J$8)</f>
        <v>Gerald Silva</v>
      </c>
      <c r="J6" s="17">
        <v>12000.0</v>
      </c>
      <c r="K6" s="10"/>
    </row>
    <row r="7" ht="14.25" customHeight="1">
      <c r="A7" s="10" t="s">
        <v>38</v>
      </c>
      <c r="B7" s="10" t="s">
        <v>18</v>
      </c>
      <c r="C7" s="10" t="str">
        <f>IF(EDT!$J$10="","",EDT!$J$10)</f>
        <v>Gerald Silva</v>
      </c>
      <c r="D7" s="17">
        <f>$J$8</f>
        <v>8500</v>
      </c>
      <c r="E7" s="20">
        <f>EDT!G10</f>
        <v>6</v>
      </c>
      <c r="F7" s="17">
        <f t="shared" si="1"/>
        <v>51000</v>
      </c>
      <c r="H7" s="10" t="s">
        <v>34</v>
      </c>
      <c r="I7" s="10" t="str">
        <f>IF(EDT!$J$9="","",EDT!$J$9)</f>
        <v>Kevin Herrera</v>
      </c>
      <c r="J7" s="17">
        <v>8500.0</v>
      </c>
      <c r="K7" s="10"/>
    </row>
    <row r="8" ht="14.25" customHeight="1">
      <c r="A8" s="10"/>
      <c r="B8" s="27" t="s">
        <v>42</v>
      </c>
      <c r="C8" s="14"/>
      <c r="D8" s="15"/>
      <c r="E8" s="28">
        <f t="shared" ref="E8:F8" si="2">SUM(E3:E7)</f>
        <v>42</v>
      </c>
      <c r="F8" s="29">
        <f t="shared" si="2"/>
        <v>522000</v>
      </c>
      <c r="H8" s="10" t="s">
        <v>18</v>
      </c>
      <c r="I8" s="10" t="str">
        <f>IF(EDT!$J$10="","",EDT!$J$10)</f>
        <v>Gerald Silva</v>
      </c>
      <c r="J8" s="17">
        <v>8500.0</v>
      </c>
      <c r="K8" s="10"/>
    </row>
    <row r="9" ht="14.25" customHeight="1"/>
    <row r="10" ht="14.25" customHeight="1"/>
    <row r="11" ht="14.25" customHeight="1">
      <c r="A11" s="2" t="s">
        <v>0</v>
      </c>
      <c r="B11" s="3" t="s">
        <v>1</v>
      </c>
      <c r="C11" s="2" t="s">
        <v>2</v>
      </c>
      <c r="D11" s="2" t="s">
        <v>45</v>
      </c>
      <c r="E11" s="2" t="s">
        <v>5</v>
      </c>
      <c r="F11" s="2" t="s">
        <v>46</v>
      </c>
      <c r="H11" s="7" t="s">
        <v>47</v>
      </c>
      <c r="I11" s="9"/>
    </row>
    <row r="12" ht="14.25" customHeight="1">
      <c r="A12" s="10" t="s">
        <v>8</v>
      </c>
      <c r="B12" s="10" t="s">
        <v>9</v>
      </c>
      <c r="C12" s="10" t="str">
        <f>IF(EDT!$J$6="","",EDT!$J$6)</f>
        <v>Christian Soto</v>
      </c>
      <c r="D12" s="17">
        <f>$J$4</f>
        <v>16000</v>
      </c>
      <c r="E12" s="20">
        <f>EDT!C19</f>
        <v>15</v>
      </c>
      <c r="F12" s="17">
        <f t="shared" ref="F12:F16" si="3">D12*E12</f>
        <v>240000</v>
      </c>
      <c r="H12" s="10" t="s">
        <v>9</v>
      </c>
      <c r="I12" s="17">
        <f t="shared" ref="I12:I16" si="4">F3+F12+F21+F30+F39</f>
        <v>1216000</v>
      </c>
    </row>
    <row r="13" ht="14.25" customHeight="1">
      <c r="A13" s="10" t="s">
        <v>27</v>
      </c>
      <c r="B13" s="10" t="s">
        <v>15</v>
      </c>
      <c r="C13" s="23" t="str">
        <f>IF(EDT!$J$7="","",EDT!$J$7)</f>
        <v>Kevin Herrera</v>
      </c>
      <c r="D13" s="17">
        <f>$J$5</f>
        <v>12000</v>
      </c>
      <c r="E13" s="20">
        <f>EDT!D19</f>
        <v>31</v>
      </c>
      <c r="F13" s="17">
        <f t="shared" si="3"/>
        <v>372000</v>
      </c>
      <c r="H13" s="10" t="s">
        <v>15</v>
      </c>
      <c r="I13" s="17">
        <f t="shared" si="4"/>
        <v>2424000</v>
      </c>
    </row>
    <row r="14" ht="14.25" customHeight="1">
      <c r="A14" s="10" t="s">
        <v>16</v>
      </c>
      <c r="B14" s="10" t="s">
        <v>32</v>
      </c>
      <c r="C14" s="10" t="str">
        <f>IF(EDT!$J$8="","",EDT!$J$8)</f>
        <v>Gerald Silva</v>
      </c>
      <c r="D14" s="17">
        <f>$J$6</f>
        <v>12000</v>
      </c>
      <c r="E14" s="20">
        <f>EDT!E19</f>
        <v>21</v>
      </c>
      <c r="F14" s="17">
        <f t="shared" si="3"/>
        <v>252000</v>
      </c>
      <c r="H14" s="10" t="s">
        <v>36</v>
      </c>
      <c r="I14" s="17">
        <f t="shared" si="4"/>
        <v>1860000</v>
      </c>
    </row>
    <row r="15" ht="14.25" customHeight="1">
      <c r="A15" s="10" t="s">
        <v>17</v>
      </c>
      <c r="B15" s="10" t="s">
        <v>34</v>
      </c>
      <c r="C15" s="10" t="str">
        <f>IF(EDT!$J$9="","",EDT!$J$9)</f>
        <v>Kevin Herrera</v>
      </c>
      <c r="D15" s="17">
        <f>$J$7</f>
        <v>8500</v>
      </c>
      <c r="E15" s="20">
        <f>EDT!F19</f>
        <v>14</v>
      </c>
      <c r="F15" s="17">
        <f t="shared" si="3"/>
        <v>119000</v>
      </c>
      <c r="H15" s="10" t="s">
        <v>34</v>
      </c>
      <c r="I15" s="17">
        <f t="shared" si="4"/>
        <v>850000</v>
      </c>
    </row>
    <row r="16" ht="14.25" customHeight="1">
      <c r="A16" s="10" t="s">
        <v>38</v>
      </c>
      <c r="B16" s="10" t="s">
        <v>18</v>
      </c>
      <c r="C16" s="10" t="str">
        <f>IF(EDT!$J$10="","",EDT!$J$10)</f>
        <v>Gerald Silva</v>
      </c>
      <c r="D16" s="17">
        <f>$J$8</f>
        <v>8500</v>
      </c>
      <c r="E16" s="20">
        <f>EDT!G19</f>
        <v>18</v>
      </c>
      <c r="F16" s="17">
        <f t="shared" si="3"/>
        <v>153000</v>
      </c>
      <c r="H16" s="10" t="s">
        <v>18</v>
      </c>
      <c r="I16" s="17">
        <f t="shared" si="4"/>
        <v>569500</v>
      </c>
    </row>
    <row r="17" ht="14.25" customHeight="1">
      <c r="A17" s="10"/>
      <c r="B17" s="27" t="s">
        <v>63</v>
      </c>
      <c r="C17" s="14"/>
      <c r="D17" s="15"/>
      <c r="E17" s="28">
        <f t="shared" ref="E17:F17" si="5">SUM(E12:E16)</f>
        <v>99</v>
      </c>
      <c r="F17" s="29">
        <f t="shared" si="5"/>
        <v>1136000</v>
      </c>
      <c r="H17" s="31" t="s">
        <v>64</v>
      </c>
      <c r="I17" s="29">
        <f>SUM(I12:I16)</f>
        <v>6919500</v>
      </c>
    </row>
    <row r="18" ht="14.25" customHeight="1"/>
    <row r="19" ht="14.25" customHeight="1"/>
    <row r="20" ht="14.25" customHeight="1">
      <c r="A20" s="2" t="s">
        <v>0</v>
      </c>
      <c r="B20" s="3" t="s">
        <v>1</v>
      </c>
      <c r="C20" s="2" t="s">
        <v>2</v>
      </c>
      <c r="D20" s="2" t="s">
        <v>45</v>
      </c>
      <c r="E20" s="2" t="s">
        <v>5</v>
      </c>
      <c r="F20" s="2" t="s">
        <v>67</v>
      </c>
      <c r="H20" s="7" t="s">
        <v>68</v>
      </c>
      <c r="I20" s="9"/>
    </row>
    <row r="21" ht="14.25" customHeight="1">
      <c r="A21" s="10" t="s">
        <v>8</v>
      </c>
      <c r="B21" s="10" t="s">
        <v>9</v>
      </c>
      <c r="C21" s="10" t="str">
        <f>IF(EDT!$J$6="","",EDT!$J$6)</f>
        <v>Christian Soto</v>
      </c>
      <c r="D21" s="17">
        <f>$J$4</f>
        <v>16000</v>
      </c>
      <c r="E21" s="20">
        <f>EDT!C53</f>
        <v>31</v>
      </c>
      <c r="F21" s="17">
        <f t="shared" ref="F21:F25" si="6">D21*E21</f>
        <v>496000</v>
      </c>
      <c r="H21" s="10" t="s">
        <v>14</v>
      </c>
      <c r="I21" s="17">
        <f>F8</f>
        <v>522000</v>
      </c>
    </row>
    <row r="22" ht="14.25" customHeight="1">
      <c r="A22" s="10" t="s">
        <v>27</v>
      </c>
      <c r="B22" s="10" t="s">
        <v>15</v>
      </c>
      <c r="C22" s="23" t="str">
        <f>IF(EDT!$J$7="","",EDT!$J$7)</f>
        <v>Kevin Herrera</v>
      </c>
      <c r="D22" s="17">
        <f>$J$5</f>
        <v>12000</v>
      </c>
      <c r="E22" s="20">
        <f>EDT!D53</f>
        <v>129</v>
      </c>
      <c r="F22" s="17">
        <f t="shared" si="6"/>
        <v>1548000</v>
      </c>
      <c r="H22" s="10" t="s">
        <v>73</v>
      </c>
      <c r="I22" s="17">
        <f>F17</f>
        <v>1136000</v>
      </c>
    </row>
    <row r="23" ht="14.25" customHeight="1">
      <c r="A23" s="10" t="s">
        <v>16</v>
      </c>
      <c r="B23" s="10" t="s">
        <v>32</v>
      </c>
      <c r="C23" s="10" t="str">
        <f>IF(EDT!$J$8="","",EDT!$J$8)</f>
        <v>Gerald Silva</v>
      </c>
      <c r="D23" s="17">
        <f>$J$6</f>
        <v>12000</v>
      </c>
      <c r="E23" s="20">
        <f>EDT!E53</f>
        <v>104</v>
      </c>
      <c r="F23" s="17">
        <f t="shared" si="6"/>
        <v>1248000</v>
      </c>
      <c r="H23" s="10" t="s">
        <v>48</v>
      </c>
      <c r="I23" s="17">
        <f>F26</f>
        <v>3819000</v>
      </c>
    </row>
    <row r="24" ht="14.25" customHeight="1">
      <c r="A24" s="10" t="s">
        <v>17</v>
      </c>
      <c r="B24" s="10" t="s">
        <v>34</v>
      </c>
      <c r="C24" s="10" t="str">
        <f>IF(EDT!$J$9="","",EDT!$J$9)</f>
        <v>Kevin Herrera</v>
      </c>
      <c r="D24" s="17">
        <f>$J$7</f>
        <v>8500</v>
      </c>
      <c r="E24" s="20">
        <f>EDT!F53</f>
        <v>33</v>
      </c>
      <c r="F24" s="17">
        <f t="shared" si="6"/>
        <v>280500</v>
      </c>
      <c r="H24" s="10" t="s">
        <v>78</v>
      </c>
      <c r="I24" s="17">
        <f>F35</f>
        <v>938500</v>
      </c>
    </row>
    <row r="25" ht="14.25" customHeight="1">
      <c r="A25" s="10" t="s">
        <v>38</v>
      </c>
      <c r="B25" s="10" t="s">
        <v>18</v>
      </c>
      <c r="C25" s="10" t="str">
        <f>IF(EDT!$J$10="","",EDT!$J$10)</f>
        <v>Gerald Silva</v>
      </c>
      <c r="D25" s="17">
        <f>$J$8</f>
        <v>8500</v>
      </c>
      <c r="E25" s="20">
        <f>EDT!G53</f>
        <v>29</v>
      </c>
      <c r="F25" s="17">
        <f t="shared" si="6"/>
        <v>246500</v>
      </c>
      <c r="H25" s="10" t="s">
        <v>81</v>
      </c>
      <c r="I25" s="17">
        <f>F44</f>
        <v>504000</v>
      </c>
    </row>
    <row r="26" ht="14.25" customHeight="1">
      <c r="A26" s="10"/>
      <c r="B26" s="27" t="s">
        <v>83</v>
      </c>
      <c r="C26" s="14"/>
      <c r="D26" s="15"/>
      <c r="E26" s="28">
        <f t="shared" ref="E26:F26" si="7">SUM(E21:E25)</f>
        <v>326</v>
      </c>
      <c r="F26" s="29">
        <f t="shared" si="7"/>
        <v>3819000</v>
      </c>
      <c r="H26" s="31" t="s">
        <v>86</v>
      </c>
      <c r="I26" s="29">
        <f>SUM(I21:I25)</f>
        <v>6919500</v>
      </c>
    </row>
    <row r="27" ht="14.25" customHeight="1"/>
    <row r="28" ht="14.25" customHeight="1"/>
    <row r="29" ht="14.25" customHeight="1">
      <c r="A29" s="2" t="s">
        <v>0</v>
      </c>
      <c r="B29" s="3" t="s">
        <v>1</v>
      </c>
      <c r="C29" s="2" t="s">
        <v>2</v>
      </c>
      <c r="D29" s="2" t="s">
        <v>45</v>
      </c>
      <c r="E29" s="2" t="s">
        <v>5</v>
      </c>
      <c r="F29" s="2" t="s">
        <v>90</v>
      </c>
      <c r="H29" s="32" t="s">
        <v>91</v>
      </c>
      <c r="I29" s="33">
        <v>0.6</v>
      </c>
    </row>
    <row r="30" ht="14.25" customHeight="1">
      <c r="A30" s="10" t="s">
        <v>8</v>
      </c>
      <c r="B30" s="10" t="s">
        <v>9</v>
      </c>
      <c r="C30" s="10" t="str">
        <f>IF(EDT!$J$6="","",EDT!$J$6)</f>
        <v>Christian Soto</v>
      </c>
      <c r="D30" s="17">
        <f>$J$4</f>
        <v>16000</v>
      </c>
      <c r="E30" s="20">
        <f>EDT!C61</f>
        <v>7</v>
      </c>
      <c r="F30" s="17">
        <f t="shared" ref="F30:F34" si="8">D30*E30</f>
        <v>112000</v>
      </c>
      <c r="H30" s="10" t="s">
        <v>93</v>
      </c>
      <c r="I30" s="17">
        <f>I26*I29</f>
        <v>4151700</v>
      </c>
    </row>
    <row r="31" ht="14.25" customHeight="1">
      <c r="A31" s="10" t="s">
        <v>27</v>
      </c>
      <c r="B31" s="10" t="s">
        <v>15</v>
      </c>
      <c r="C31" s="23" t="str">
        <f>IF(EDT!$J$7="","",EDT!$J$7)</f>
        <v>Kevin Herrera</v>
      </c>
      <c r="D31" s="17">
        <f>$J$5</f>
        <v>12000</v>
      </c>
      <c r="E31" s="20">
        <f>EDT!D61</f>
        <v>22</v>
      </c>
      <c r="F31" s="17">
        <f t="shared" si="8"/>
        <v>264000</v>
      </c>
      <c r="H31" s="34" t="s">
        <v>97</v>
      </c>
      <c r="I31" s="35">
        <f>I26+I30</f>
        <v>11071200</v>
      </c>
    </row>
    <row r="32" ht="14.25" customHeight="1">
      <c r="A32" s="10" t="s">
        <v>16</v>
      </c>
      <c r="B32" s="10" t="s">
        <v>32</v>
      </c>
      <c r="C32" s="10" t="str">
        <f>IF(EDT!$J$8="","",EDT!$J$8)</f>
        <v>Gerald Silva</v>
      </c>
      <c r="D32" s="17">
        <f>$J$6</f>
        <v>12000</v>
      </c>
      <c r="E32" s="20">
        <f>EDT!E61</f>
        <v>15</v>
      </c>
      <c r="F32" s="17">
        <f t="shared" si="8"/>
        <v>180000</v>
      </c>
    </row>
    <row r="33" ht="14.25" customHeight="1">
      <c r="A33" s="10" t="s">
        <v>17</v>
      </c>
      <c r="B33" s="10" t="s">
        <v>34</v>
      </c>
      <c r="C33" s="10" t="str">
        <f>IF(EDT!$J$9="","",EDT!$J$9)</f>
        <v>Kevin Herrera</v>
      </c>
      <c r="D33" s="17">
        <f>$J$7</f>
        <v>8500</v>
      </c>
      <c r="E33" s="20">
        <f>EDT!F61</f>
        <v>41</v>
      </c>
      <c r="F33" s="17">
        <f t="shared" si="8"/>
        <v>348500</v>
      </c>
      <c r="H33" s="36" t="s">
        <v>101</v>
      </c>
      <c r="I33" s="36">
        <f>SUM(EDT!C70:G70)</f>
        <v>600</v>
      </c>
    </row>
    <row r="34" ht="14.25" customHeight="1">
      <c r="A34" s="10" t="s">
        <v>38</v>
      </c>
      <c r="B34" s="10" t="s">
        <v>18</v>
      </c>
      <c r="C34" s="10" t="str">
        <f>IF(EDT!$J$10="","",EDT!$J$10)</f>
        <v>Gerald Silva</v>
      </c>
      <c r="D34" s="17">
        <f>$J$8</f>
        <v>8500</v>
      </c>
      <c r="E34" s="20">
        <f>EDT!G61</f>
        <v>4</v>
      </c>
      <c r="F34" s="17">
        <f t="shared" si="8"/>
        <v>34000</v>
      </c>
    </row>
    <row r="35" ht="14.25" customHeight="1">
      <c r="A35" s="10"/>
      <c r="B35" s="27" t="s">
        <v>103</v>
      </c>
      <c r="C35" s="14"/>
      <c r="D35" s="15"/>
      <c r="E35" s="28">
        <f t="shared" ref="E35:F35" si="9">SUM(E30:E34)</f>
        <v>89</v>
      </c>
      <c r="F35" s="29">
        <f t="shared" si="9"/>
        <v>938500</v>
      </c>
      <c r="H35" s="26" t="s">
        <v>105</v>
      </c>
    </row>
    <row r="36" ht="14.25" customHeight="1">
      <c r="H36" s="26" t="s">
        <v>107</v>
      </c>
    </row>
    <row r="37" ht="14.25" customHeight="1">
      <c r="H37" s="26" t="s">
        <v>108</v>
      </c>
    </row>
    <row r="38" ht="14.25" customHeight="1">
      <c r="A38" s="2" t="s">
        <v>0</v>
      </c>
      <c r="B38" s="3" t="s">
        <v>1</v>
      </c>
      <c r="C38" s="2" t="s">
        <v>2</v>
      </c>
      <c r="D38" s="2" t="s">
        <v>45</v>
      </c>
      <c r="E38" s="2" t="s">
        <v>5</v>
      </c>
      <c r="F38" s="2" t="s">
        <v>110</v>
      </c>
    </row>
    <row r="39" ht="14.25" customHeight="1">
      <c r="A39" s="10" t="s">
        <v>8</v>
      </c>
      <c r="B39" s="10" t="s">
        <v>9</v>
      </c>
      <c r="C39" s="10" t="str">
        <f>IF(EDT!$J$6="","",EDT!$J$6)</f>
        <v>Christian Soto</v>
      </c>
      <c r="D39" s="17">
        <f>$J$4</f>
        <v>16000</v>
      </c>
      <c r="E39" s="20">
        <f>EDT!C68</f>
        <v>8</v>
      </c>
      <c r="F39" s="17">
        <f t="shared" ref="F39:F43" si="10">D39*E39</f>
        <v>128000</v>
      </c>
    </row>
    <row r="40" ht="14.25" customHeight="1">
      <c r="A40" s="10" t="s">
        <v>27</v>
      </c>
      <c r="B40" s="10" t="s">
        <v>15</v>
      </c>
      <c r="C40" s="23" t="str">
        <f>IF(EDT!$J$7="","",EDT!$J$7)</f>
        <v>Kevin Herrera</v>
      </c>
      <c r="D40" s="17">
        <f>$J$5</f>
        <v>12000</v>
      </c>
      <c r="E40" s="20">
        <f>EDT!D68</f>
        <v>11</v>
      </c>
      <c r="F40" s="17">
        <f t="shared" si="10"/>
        <v>132000</v>
      </c>
    </row>
    <row r="41" ht="14.25" customHeight="1">
      <c r="A41" s="10" t="s">
        <v>16</v>
      </c>
      <c r="B41" s="10" t="s">
        <v>32</v>
      </c>
      <c r="C41" s="10" t="str">
        <f>IF(EDT!$J$8="","",EDT!$J$8)</f>
        <v>Gerald Silva</v>
      </c>
      <c r="D41" s="17">
        <f>$J$6</f>
        <v>12000</v>
      </c>
      <c r="E41" s="20">
        <f>EDT!E68</f>
        <v>9</v>
      </c>
      <c r="F41" s="17">
        <f t="shared" si="10"/>
        <v>108000</v>
      </c>
    </row>
    <row r="42" ht="14.25" customHeight="1">
      <c r="A42" s="10" t="s">
        <v>17</v>
      </c>
      <c r="B42" s="10" t="s">
        <v>34</v>
      </c>
      <c r="C42" s="10" t="str">
        <f>IF(EDT!$J$9="","",EDT!$J$9)</f>
        <v>Kevin Herrera</v>
      </c>
      <c r="D42" s="17">
        <f>$J$7</f>
        <v>8500</v>
      </c>
      <c r="E42" s="20">
        <f>EDT!F68</f>
        <v>6</v>
      </c>
      <c r="F42" s="17">
        <f t="shared" si="10"/>
        <v>51000</v>
      </c>
    </row>
    <row r="43" ht="14.25" customHeight="1">
      <c r="A43" s="10" t="s">
        <v>38</v>
      </c>
      <c r="B43" s="10" t="s">
        <v>18</v>
      </c>
      <c r="C43" s="10" t="str">
        <f>IF(EDT!$J$10="","",EDT!$J$10)</f>
        <v>Gerald Silva</v>
      </c>
      <c r="D43" s="17">
        <f>$J$8</f>
        <v>8500</v>
      </c>
      <c r="E43" s="20">
        <f>EDT!G68</f>
        <v>10</v>
      </c>
      <c r="F43" s="17">
        <f t="shared" si="10"/>
        <v>85000</v>
      </c>
    </row>
    <row r="44" ht="14.25" customHeight="1">
      <c r="A44" s="10"/>
      <c r="B44" s="27" t="s">
        <v>115</v>
      </c>
      <c r="C44" s="14"/>
      <c r="D44" s="15"/>
      <c r="E44" s="28">
        <f t="shared" ref="E44:F44" si="11">SUM(E39:E43)</f>
        <v>44</v>
      </c>
      <c r="F44" s="29">
        <f t="shared" si="11"/>
        <v>504000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H2:K2"/>
    <mergeCell ref="B8:D8"/>
    <mergeCell ref="H11:I11"/>
    <mergeCell ref="B17:D17"/>
    <mergeCell ref="H20:I20"/>
    <mergeCell ref="B26:D26"/>
    <mergeCell ref="B35:D35"/>
    <mergeCell ref="B44:D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